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$* #,##0_);_($* (#,##0);_($* &quot;-&quot;??_);_(@_)"/>
    <numFmt numFmtId="165" formatCode="0.0%"/>
    <numFmt numFmtId="166" formatCode="0.00&quot;x&quot;"/>
    <numFmt numFmtId="167" formatCode="0.0000"/>
    <numFmt numFmtId="168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/>
    <font>
      <b val="1"/>
      <sz val="10"/>
    </font>
    <font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0" fillId="2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0" fontId="5" fillId="5" borderId="1" applyAlignment="1" pivotButton="0" quotePrefix="0" xfId="0">
      <alignment horizontal="left" vertical="center"/>
    </xf>
    <xf numFmtId="165" fontId="0" fillId="2" borderId="1" pivotButton="0" quotePrefix="0" xfId="0"/>
    <xf numFmtId="2" fontId="0" fillId="2" borderId="1" pivotButton="0" quotePrefix="0" xfId="0"/>
    <xf numFmtId="165" fontId="0" fillId="6" borderId="1" pivotButton="0" quotePrefix="0" xfId="0"/>
    <xf numFmtId="1" fontId="0" fillId="6" borderId="1" pivotButton="0" quotePrefix="0" xfId="0"/>
    <xf numFmtId="166" fontId="0" fillId="2" borderId="1" pivotButton="0" quotePrefix="0" xfId="0"/>
    <xf numFmtId="164" fontId="0" fillId="2" borderId="1" pivotButton="0" quotePrefix="0" xfId="0"/>
    <xf numFmtId="4" fontId="0" fillId="2" borderId="1" pivotButton="0" quotePrefix="0" xfId="0"/>
    <xf numFmtId="0" fontId="4" fillId="0" borderId="0" pivotButton="0" quotePrefix="0" xfId="0"/>
    <xf numFmtId="0" fontId="0" fillId="2" borderId="1" pivotButton="0" quotePrefix="0" xfId="0"/>
    <xf numFmtId="164" fontId="4" fillId="4" borderId="1" pivotButton="0" quotePrefix="0" xfId="0"/>
    <xf numFmtId="165" fontId="0" fillId="0" borderId="0" pivotButton="0" quotePrefix="0" xfId="0"/>
    <xf numFmtId="0" fontId="0" fillId="4" borderId="1" pivotButton="0" quotePrefix="0" xfId="0"/>
    <xf numFmtId="0" fontId="0" fillId="4" borderId="0" pivotButton="0" quotePrefix="0" xfId="0"/>
    <xf numFmtId="165" fontId="0" fillId="4" borderId="0" pivotButton="0" quotePrefix="0" xfId="0"/>
    <xf numFmtId="167" fontId="0" fillId="0" borderId="0" pivotButton="0" quotePrefix="0" xfId="0"/>
    <xf numFmtId="167" fontId="0" fillId="4" borderId="1" pivotButton="0" quotePrefix="0" xfId="0"/>
    <xf numFmtId="2" fontId="0" fillId="0" borderId="0" pivotButton="0" quotePrefix="0" xfId="0"/>
    <xf numFmtId="165" fontId="4" fillId="0" borderId="0" pivotButton="0" quotePrefix="0" xfId="0"/>
    <xf numFmtId="4" fontId="0" fillId="4" borderId="1" pivotButton="0" quotePrefix="0" xfId="0"/>
    <xf numFmtId="168" fontId="6" fillId="7" borderId="1" pivotButton="0" quotePrefix="0" xfId="0"/>
    <xf numFmtId="168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template</author>
  </authors>
  <commentList>
    <comment ref="B3" authorId="0" shapeId="0">
      <text>
        <t>Pipeline field: meta.ticker</t>
      </text>
    </comment>
    <comment ref="B4" authorId="0" shapeId="0">
      <text>
        <t>Pipeline field: meta.company_name</t>
      </text>
    </comment>
    <comment ref="B5" authorId="0" shapeId="0">
      <text>
        <t>Pipeline field: meta.valuation_date</t>
      </text>
    </comment>
    <comment ref="B7" authorId="0" shapeId="0">
      <text>
        <t>Pipeline field: meta.source</t>
      </text>
    </comment>
    <comment ref="B10" authorId="0" shapeId="0">
      <text>
        <t>Pipeline field: forward_guidance.period</t>
      </text>
    </comment>
    <comment ref="B11" authorId="0" shapeId="0">
      <text>
        <t>Pipeline field: forward_guidance.revenue_low</t>
      </text>
    </comment>
    <comment ref="B12" authorId="0" shapeId="0">
      <text>
        <t>Pipeline field: forward_guidance.revenue_high</t>
      </text>
    </comment>
    <comment ref="B13" authorId="0" shapeId="0">
      <text>
        <t>Pipeline field: forward_guidance.operating_income_low</t>
      </text>
    </comment>
    <comment ref="B14" authorId="0" shapeId="0">
      <text>
        <t>Pipeline field: forward_guidance.operating_income_high</t>
      </text>
    </comment>
    <comment ref="B15" authorId="0" shapeId="0">
      <text>
        <t>Pipeline field: forward_guidance.notes</t>
      </text>
    </comment>
    <comment ref="B24" authorId="0" shapeId="0">
      <text>
        <t>Pipeline field: non_recurring_items[0].description</t>
      </text>
    </comment>
    <comment ref="B25" authorId="0" shapeId="0">
      <text>
        <t>Pipeline field: non_recurring_items[0].period</t>
      </text>
    </comment>
    <comment ref="B26" authorId="0" shapeId="0">
      <text>
        <t>Pipeline field: non_recurring_items[0].line_item</t>
      </text>
    </comment>
    <comment ref="B27" authorId="0" shapeId="0">
      <text>
        <t>Pipeline field: non_recurring_items[0].amount</t>
      </text>
    </comment>
    <comment ref="B28" authorId="0" shapeId="0">
      <text>
        <t>Pipeline field: non_recurring_items[0].source_quote</t>
      </text>
    </comment>
    <comment ref="B29" authorId="0" shapeId="0">
      <text>
        <t>Pipeline field: non_recurring_items[1].description</t>
      </text>
    </comment>
    <comment ref="B30" authorId="0" shapeId="0">
      <text>
        <t>Pipeline field: non_recurring_items[1].period</t>
      </text>
    </comment>
    <comment ref="B31" authorId="0" shapeId="0">
      <text>
        <t>Pipeline field: non_recurring_items[1].line_item</t>
      </text>
    </comment>
    <comment ref="B32" authorId="0" shapeId="0">
      <text>
        <t>Pipeline field: non_recurring_items[1].amount</t>
      </text>
    </comment>
    <comment ref="B33" authorId="0" shapeId="0">
      <text>
        <t>Pipeline field: non_recurring_items[1].source_quote</t>
      </text>
    </comment>
    <comment ref="B34" authorId="0" shapeId="0">
      <text>
        <t>Pipeline field: non_recurring_items[2].description</t>
      </text>
    </comment>
    <comment ref="B35" authorId="0" shapeId="0">
      <text>
        <t>Pipeline field: non_recurring_items[2].period</t>
      </text>
    </comment>
    <comment ref="B36" authorId="0" shapeId="0">
      <text>
        <t>Pipeline field: non_recurring_items[2].line_item</t>
      </text>
    </comment>
    <comment ref="B37" authorId="0" shapeId="0">
      <text>
        <t>Pipeline field: non_recurring_items[2].amount</t>
      </text>
    </comment>
    <comment ref="B38" authorId="0" shapeId="0">
      <text>
        <t>Pipeline field: non_recurring_items[2].source_quote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B3" authorId="0" shapeId="0">
      <text>
        <t>Pipeline field: macro.risk_free_rate</t>
      </text>
    </comment>
    <comment ref="B4" authorId="0" shapeId="0">
      <text>
        <t>Pipeline field: industry.equity_risk_premium</t>
      </text>
    </comment>
    <comment ref="B5" authorId="0" shapeId="0">
      <text>
        <t>Pipeline field: industry.levered_beta</t>
      </text>
    </comment>
    <comment ref="B6" authorId="0" shapeId="0">
      <text>
        <t>Pipeline field: macro.baa_corporate_yield</t>
      </text>
    </comment>
    <comment ref="B8" authorId="0" shapeId="0">
      <text>
        <t>Pipeline field: tax.effective_rate</t>
      </text>
    </comment>
    <comment ref="B12" authorId="0" shapeId="0">
      <text>
        <t>Pipeline field: industry.pretax_operating_margin</t>
      </text>
    </comment>
    <comment ref="B14" authorId="0" shapeId="0">
      <text>
        <t>Pipeline field: industry.sales_to_capital</t>
      </text>
    </comment>
    <comment ref="B18" authorId="0" shapeId="0">
      <text>
        <t>Pipeline field: industry.cost_of_capital</t>
      </text>
    </comment>
    <comment ref="B19" authorId="0" shapeId="0">
      <text>
        <t>Pipeline field: industry.return_on_invested_capital</t>
      </text>
    </comment>
    <comment ref="B22" authorId="0" shapeId="0">
      <text>
        <t>Pipeline field: bs.cash</t>
      </text>
    </comment>
    <comment ref="B23" authorId="0" shapeId="0">
      <text>
        <t>Pipeline field: bs.marketable_securities</t>
      </text>
    </comment>
    <comment ref="B24" authorId="0" shapeId="0">
      <text>
        <t>Pipeline field: bs.long_term_debt</t>
      </text>
    </comment>
    <comment ref="B25" authorId="0" shapeId="0">
      <text>
        <t>Pipeline field: bs.lease_liabilities</t>
      </text>
    </comment>
    <comment ref="B26" authorId="0" shapeId="0">
      <text>
        <t>Pipeline field: shares.outstanding_m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B2" authorId="0" shapeId="0">
      <text>
        <t>Pipeline field: pl.net_sales.fy_minus_2</t>
      </text>
    </comment>
    <comment ref="C2" authorId="0" shapeId="0">
      <text>
        <t>Pipeline field: pl.net_sales.fy_minus_1</t>
      </text>
    </comment>
    <comment ref="D2" authorId="0" shapeId="0">
      <text>
        <t>Pipeline field: pl.net_sales.fy_latest</t>
      </text>
    </comment>
    <comment ref="B3" authorId="0" shapeId="0">
      <text>
        <t>Pipeline field: pl.cost_of_sales.fy_minus_2</t>
      </text>
    </comment>
    <comment ref="C3" authorId="0" shapeId="0">
      <text>
        <t>Pipeline field: pl.cost_of_sales.fy_minus_1</t>
      </text>
    </comment>
    <comment ref="D3" authorId="0" shapeId="0">
      <text>
        <t>Pipeline field: pl.cost_of_sales.fy_latest</t>
      </text>
    </comment>
    <comment ref="B4" authorId="0" shapeId="0">
      <text>
        <t>Pipeline field: pl.fulfillment.fy_minus_2</t>
      </text>
    </comment>
    <comment ref="C4" authorId="0" shapeId="0">
      <text>
        <t>Pipeline field: pl.fulfillment.fy_minus_1</t>
      </text>
    </comment>
    <comment ref="D4" authorId="0" shapeId="0">
      <text>
        <t>Pipeline field: pl.fulfillment.fy_latest</t>
      </text>
    </comment>
    <comment ref="B5" authorId="0" shapeId="0">
      <text>
        <t>Pipeline field: pl.tech_and_infra.fy_minus_2</t>
      </text>
    </comment>
    <comment ref="C5" authorId="0" shapeId="0">
      <text>
        <t>Pipeline field: pl.tech_and_infra.fy_minus_1</t>
      </text>
    </comment>
    <comment ref="D5" authorId="0" shapeId="0">
      <text>
        <t>Pipeline field: pl.tech_and_infra.fy_latest</t>
      </text>
    </comment>
    <comment ref="B6" authorId="0" shapeId="0">
      <text>
        <t>Pipeline field: pl.sales_and_marketing.fy_minus_2</t>
      </text>
    </comment>
    <comment ref="C6" authorId="0" shapeId="0">
      <text>
        <t>Pipeline field: pl.sales_and_marketing.fy_minus_1</t>
      </text>
    </comment>
    <comment ref="D6" authorId="0" shapeId="0">
      <text>
        <t>Pipeline field: pl.sales_and_marketing.fy_latest</t>
      </text>
    </comment>
    <comment ref="B7" authorId="0" shapeId="0">
      <text>
        <t>Pipeline field: pl.general_and_admin.fy_minus_2</t>
      </text>
    </comment>
    <comment ref="C7" authorId="0" shapeId="0">
      <text>
        <t>Pipeline field: pl.general_and_admin.fy_minus_1</t>
      </text>
    </comment>
    <comment ref="D7" authorId="0" shapeId="0">
      <text>
        <t>Pipeline field: pl.general_and_admin.fy_latest</t>
      </text>
    </comment>
    <comment ref="B8" authorId="0" shapeId="0">
      <text>
        <t>Pipeline field: pl.other_operating.fy_minus_2</t>
      </text>
    </comment>
    <comment ref="C8" authorId="0" shapeId="0">
      <text>
        <t>Pipeline field: pl.other_operating.fy_minus_1</t>
      </text>
    </comment>
    <comment ref="D8" authorId="0" shapeId="0">
      <text>
        <t>Pipeline field: pl.other_operating.fy_latest</t>
      </text>
    </comment>
    <comment ref="B9" authorId="0" shapeId="0">
      <text>
        <t>Pipeline field: pl.total_opex.fy_minus_2</t>
      </text>
    </comment>
    <comment ref="C9" authorId="0" shapeId="0">
      <text>
        <t>Pipeline field: pl.total_opex.fy_minus_1</t>
      </text>
    </comment>
    <comment ref="D9" authorId="0" shapeId="0">
      <text>
        <t>Pipeline field: pl.total_opex.fy_latest</t>
      </text>
    </comment>
    <comment ref="B10" authorId="0" shapeId="0">
      <text>
        <t>Pipeline field: pl.operating_income.fy_minus_2</t>
      </text>
    </comment>
    <comment ref="C10" authorId="0" shapeId="0">
      <text>
        <t>Pipeline field: pl.operating_income.fy_minus_1</t>
      </text>
    </comment>
    <comment ref="D10" authorId="0" shapeId="0">
      <text>
        <t>Pipeline field: pl.operating_income.fy_latest</t>
      </text>
    </comment>
    <comment ref="B11" authorId="0" shapeId="0">
      <text>
        <t>Pipeline field: pl.interest_income.fy_minus_2</t>
      </text>
    </comment>
    <comment ref="C11" authorId="0" shapeId="0">
      <text>
        <t>Pipeline field: pl.interest_income.fy_minus_1</t>
      </text>
    </comment>
    <comment ref="D11" authorId="0" shapeId="0">
      <text>
        <t>Pipeline field: pl.interest_income.fy_latest</t>
      </text>
    </comment>
    <comment ref="B12" authorId="0" shapeId="0">
      <text>
        <t>Pipeline field: pl.interest_expense.fy_minus_2</t>
      </text>
    </comment>
    <comment ref="C12" authorId="0" shapeId="0">
      <text>
        <t>Pipeline field: pl.interest_expense.fy_minus_1</t>
      </text>
    </comment>
    <comment ref="D12" authorId="0" shapeId="0">
      <text>
        <t>Pipeline field: pl.interest_expense.fy_latest</t>
      </text>
    </comment>
    <comment ref="B13" authorId="0" shapeId="0">
      <text>
        <t>Pipeline field: pl.other_income.fy_minus_2</t>
      </text>
    </comment>
    <comment ref="C13" authorId="0" shapeId="0">
      <text>
        <t>Pipeline field: pl.other_income.fy_minus_1</t>
      </text>
    </comment>
    <comment ref="D13" authorId="0" shapeId="0">
      <text>
        <t>Pipeline field: pl.other_income.fy_latest</t>
      </text>
    </comment>
    <comment ref="B14" authorId="0" shapeId="0">
      <text>
        <t>Pipeline field: pl.income_before_tax.fy_minus_2</t>
      </text>
    </comment>
    <comment ref="C14" authorId="0" shapeId="0">
      <text>
        <t>Pipeline field: pl.income_before_tax.fy_minus_1</t>
      </text>
    </comment>
    <comment ref="D14" authorId="0" shapeId="0">
      <text>
        <t>Pipeline field: pl.income_before_tax.fy_latest</t>
      </text>
    </comment>
    <comment ref="B15" authorId="0" shapeId="0">
      <text>
        <t>Pipeline field: pl.tax_provision.fy_minus_2</t>
      </text>
    </comment>
    <comment ref="C15" authorId="0" shapeId="0">
      <text>
        <t>Pipeline field: pl.tax_provision.fy_minus_1</t>
      </text>
    </comment>
    <comment ref="D15" authorId="0" shapeId="0">
      <text>
        <t>Pipeline field: pl.tax_provision.fy_latest</t>
      </text>
    </comment>
    <comment ref="B16" authorId="0" shapeId="0">
      <text>
        <t>Pipeline field: pl.net_income.fy_minus_2</t>
      </text>
    </comment>
    <comment ref="C16" authorId="0" shapeId="0">
      <text>
        <t>Pipeline field: pl.net_income.fy_minus_1</t>
      </text>
    </comment>
    <comment ref="D16" authorId="0" shapeId="0">
      <text>
        <t>Pipeline field: pl.net_income.fy_latest</t>
      </text>
    </comment>
    <comment ref="B19" authorId="0" shapeId="0">
      <text>
        <t>Pipeline field: cf.capex.fy_minus_2</t>
      </text>
    </comment>
    <comment ref="C19" authorId="0" shapeId="0">
      <text>
        <t>Pipeline field: cf.capex.fy_minus_1</t>
      </text>
    </comment>
    <comment ref="D19" authorId="0" shapeId="0">
      <text>
        <t>Pipeline field: cf.capex.fy_latest</t>
      </text>
    </comment>
    <comment ref="B20" authorId="0" shapeId="0">
      <text>
        <t>Pipeline field: cf.cash_from_operations.fy_minus_2</t>
      </text>
    </comment>
    <comment ref="C20" authorId="0" shapeId="0">
      <text>
        <t>Pipeline field: cf.cash_from_operations.fy_minus_1</t>
      </text>
    </comment>
    <comment ref="D20" authorId="0" shapeId="0">
      <text>
        <t>Pipeline field: cf.cash_from_operations.fy_latest</t>
      </text>
    </comment>
    <comment ref="B21" authorId="0" shapeId="0">
      <text>
        <t>Pipeline field: cf.free_cash_flow.fy_minus_2</t>
      </text>
    </comment>
    <comment ref="C21" authorId="0" shapeId="0">
      <text>
        <t>Pipeline field: cf.free_cash_flow.fy_minus_1</t>
      </text>
    </comment>
    <comment ref="D21" authorId="0" shapeId="0">
      <text>
        <t>Pipeline field: cf.free_cash_flow.fy_latest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3" authorId="0" shapeId="0">
      <text>
        <t>Pipeline field: segments[0].name</t>
      </text>
    </comment>
    <comment ref="B3" authorId="0" shapeId="0">
      <text>
        <t>Pipeline field: segments[0].revenue.fy_minus_2</t>
      </text>
    </comment>
    <comment ref="C3" authorId="0" shapeId="0">
      <text>
        <t>Pipeline field: segments[0].revenue.fy_minus_1</t>
      </text>
    </comment>
    <comment ref="D3" authorId="0" shapeId="0">
      <text>
        <t>Pipeline field: segments[0].revenue.fy_latest</t>
      </text>
    </comment>
    <comment ref="A4" authorId="0" shapeId="0">
      <text>
        <t>Pipeline field: segments[1].name</t>
      </text>
    </comment>
    <comment ref="B4" authorId="0" shapeId="0">
      <text>
        <t>Pipeline field: segments[1].revenue.fy_minus_2</t>
      </text>
    </comment>
    <comment ref="C4" authorId="0" shapeId="0">
      <text>
        <t>Pipeline field: segments[1].revenue.fy_minus_1</t>
      </text>
    </comment>
    <comment ref="D4" authorId="0" shapeId="0">
      <text>
        <t>Pipeline field: segments[1].revenue.fy_latest</t>
      </text>
    </comment>
    <comment ref="A5" authorId="0" shapeId="0">
      <text>
        <t>Pipeline field: segments[2].name</t>
      </text>
    </comment>
    <comment ref="B5" authorId="0" shapeId="0">
      <text>
        <t>Pipeline field: segments[2].revenue.fy_minus_2</t>
      </text>
    </comment>
    <comment ref="C5" authorId="0" shapeId="0">
      <text>
        <t>Pipeline field: segments[2].revenue.fy_minus_1</t>
      </text>
    </comment>
    <comment ref="D5" authorId="0" shapeId="0">
      <text>
        <t>Pipeline field: segments[2].revenue.fy_latest</t>
      </text>
    </comment>
    <comment ref="A6" authorId="0" shapeId="0">
      <text>
        <t>Pipeline field: segments[3].name</t>
      </text>
    </comment>
    <comment ref="B6" authorId="0" shapeId="0">
      <text>
        <t>Pipeline field: segments[3].revenue.fy_minus_2</t>
      </text>
    </comment>
    <comment ref="C6" authorId="0" shapeId="0">
      <text>
        <t>Pipeline field: segments[3].revenue.fy_minus_1</t>
      </text>
    </comment>
    <comment ref="D6" authorId="0" shapeId="0">
      <text>
        <t>Pipeline field: segments[3].revenue.fy_latest</t>
      </text>
    </comment>
    <comment ref="A7" authorId="0" shapeId="0">
      <text>
        <t>Pipeline field: segments[4].name</t>
      </text>
    </comment>
    <comment ref="B7" authorId="0" shapeId="0">
      <text>
        <t>Pipeline field: segments[4].revenue.fy_minus_2</t>
      </text>
    </comment>
    <comment ref="C7" authorId="0" shapeId="0">
      <text>
        <t>Pipeline field: segments[4].revenue.fy_minus_1</t>
      </text>
    </comment>
    <comment ref="D7" authorId="0" shapeId="0">
      <text>
        <t>Pipeline field: segments[4].revenue.fy_latest</t>
      </text>
    </comment>
    <comment ref="B11" authorId="0" shapeId="0">
      <text>
        <t>Pipeline field: segments[0].operating_income.fy_minus_2</t>
      </text>
    </comment>
    <comment ref="C11" authorId="0" shapeId="0">
      <text>
        <t>Pipeline field: segments[0].operating_income.fy_minus_1</t>
      </text>
    </comment>
    <comment ref="D11" authorId="0" shapeId="0">
      <text>
        <t>Pipeline field: segments[0].operating_income.fy_latest</t>
      </text>
    </comment>
    <comment ref="B12" authorId="0" shapeId="0">
      <text>
        <t>Pipeline field: segments[1].operating_income.fy_minus_2</t>
      </text>
    </comment>
    <comment ref="C12" authorId="0" shapeId="0">
      <text>
        <t>Pipeline field: segments[1].operating_income.fy_minus_1</t>
      </text>
    </comment>
    <comment ref="D12" authorId="0" shapeId="0">
      <text>
        <t>Pipeline field: segments[1].operating_income.fy_latest</t>
      </text>
    </comment>
    <comment ref="B13" authorId="0" shapeId="0">
      <text>
        <t>Pipeline field: segments[2].operating_income.fy_minus_2</t>
      </text>
    </comment>
    <comment ref="C13" authorId="0" shapeId="0">
      <text>
        <t>Pipeline field: segments[2].operating_income.fy_minus_1</t>
      </text>
    </comment>
    <comment ref="D13" authorId="0" shapeId="0">
      <text>
        <t>Pipeline field: segments[2].operating_income.fy_latest</t>
      </text>
    </comment>
    <comment ref="B14" authorId="0" shapeId="0">
      <text>
        <t>Pipeline field: segments[3].operating_income.fy_minus_2</t>
      </text>
    </comment>
    <comment ref="C14" authorId="0" shapeId="0">
      <text>
        <t>Pipeline field: segments[3].operating_income.fy_minus_1</t>
      </text>
    </comment>
    <comment ref="D14" authorId="0" shapeId="0">
      <text>
        <t>Pipeline field: segments[3].operating_income.fy_latest</t>
      </text>
    </comment>
    <comment ref="B15" authorId="0" shapeId="0">
      <text>
        <t>Pipeline field: segments[4].operating_income.fy_minus_2</t>
      </text>
    </comment>
    <comment ref="C15" authorId="0" shapeId="0">
      <text>
        <t>Pipeline field: segments[4].operating_income.fy_minus_1</t>
      </text>
    </comment>
    <comment ref="D15" authorId="0" shapeId="0">
      <text>
        <t>Pipeline field: segments[4].operating_income.fy_latest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B3" authorId="0" shapeId="0">
      <text>
        <t>Pipeline field: pl.net_sales.fy_latest</t>
      </text>
    </comment>
    <comment ref="B4" authorId="0" shapeId="0">
      <text>
        <t>Pipeline computes from operating income / net sales (latest fiscal year).</t>
      </text>
    </comment>
  </commentList>
</comments>
</file>

<file path=xl/comments/comment6.xml><?xml version="1.0" encoding="utf-8"?>
<comments xmlns="http://schemas.openxmlformats.org/spreadsheetml/2006/main">
  <authors>
    <author>template</author>
  </authors>
  <commentList>
    <comment ref="B15" authorId="0" shapeId="0">
      <text>
        <t>Pipeline field: market.market_cap_m</t>
      </text>
    </comment>
  </commentList>
</comments>
</file>

<file path=xl/comments/comment7.xml><?xml version="1.0" encoding="utf-8"?>
<comments xmlns="http://schemas.openxmlformats.org/spreadsheetml/2006/main">
  <authors>
    <author>template</author>
  </authors>
  <commentList>
    <comment ref="B19" authorId="0" shapeId="0">
      <text>
        <t>Pipeline field: market.price_per_share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Valuation Template (Blank)</t>
        </is>
      </c>
    </row>
    <row r="3">
      <c r="A3" s="2" t="inlineStr">
        <is>
          <t>Ticker</t>
        </is>
      </c>
      <c r="B3" s="3" t="inlineStr"/>
    </row>
    <row r="4">
      <c r="A4" s="2" t="inlineStr">
        <is>
          <t>Company name</t>
        </is>
      </c>
      <c r="B4" s="3" t="inlineStr"/>
    </row>
    <row r="5">
      <c r="A5" s="2" t="inlineStr">
        <is>
          <t>Valuation date</t>
        </is>
      </c>
      <c r="B5" s="3" t="inlineStr"/>
    </row>
    <row r="6">
      <c r="A6" s="2" t="inlineStr">
        <is>
          <t>Reporting currency</t>
        </is>
      </c>
      <c r="B6" s="4" t="inlineStr">
        <is>
          <t>USD, millions unless noted</t>
        </is>
      </c>
    </row>
    <row r="7">
      <c r="A7" s="2" t="inlineStr">
        <is>
          <t>Source — financials</t>
        </is>
      </c>
      <c r="B7" s="3" t="inlineStr"/>
    </row>
    <row r="8">
      <c r="A8" s="5" t="inlineStr"/>
      <c r="B8" s="4" t="inlineStr"/>
    </row>
    <row r="9">
      <c r="A9" s="6" t="inlineStr">
        <is>
          <t>Forward Guidance (latest earnings release)</t>
        </is>
      </c>
      <c r="B9" s="7" t="n"/>
    </row>
    <row r="10">
      <c r="A10" s="2" t="inlineStr">
        <is>
          <t>Period</t>
        </is>
      </c>
      <c r="B10" s="3" t="inlineStr"/>
    </row>
    <row r="11">
      <c r="A11" s="2" t="inlineStr">
        <is>
          <t>Revenue, low ($M)</t>
        </is>
      </c>
      <c r="B11" s="8" t="inlineStr"/>
    </row>
    <row r="12">
      <c r="A12" s="2" t="inlineStr">
        <is>
          <t>Revenue, high ($M)</t>
        </is>
      </c>
      <c r="B12" s="8" t="inlineStr"/>
    </row>
    <row r="13">
      <c r="A13" s="2" t="inlineStr">
        <is>
          <t>Operating income, low ($M)</t>
        </is>
      </c>
      <c r="B13" s="8" t="inlineStr"/>
    </row>
    <row r="14">
      <c r="A14" s="2" t="inlineStr">
        <is>
          <t>Operating income, high ($M)</t>
        </is>
      </c>
      <c r="B14" s="8" t="inlineStr"/>
    </row>
    <row r="15" ht="60" customHeight="1">
      <c r="A15" s="2" t="inlineStr">
        <is>
          <t>Notes</t>
        </is>
      </c>
      <c r="B15" s="3" t="inlineStr"/>
    </row>
    <row r="16">
      <c r="A16" s="5" t="inlineStr"/>
      <c r="B16" s="4" t="inlineStr"/>
    </row>
    <row r="17">
      <c r="A17" s="6" t="inlineStr">
        <is>
          <t>Forecast vs guidance (sanity)</t>
        </is>
      </c>
      <c r="B17" s="7" t="n"/>
    </row>
    <row r="18">
      <c r="A18" s="5" t="inlineStr">
        <is>
          <t xml:space="preserve">  Y1 forecast revenue</t>
        </is>
      </c>
      <c r="B18" s="9">
        <f>Forecast!C3</f>
        <v/>
      </c>
    </row>
    <row r="19">
      <c r="A19" s="5" t="inlineStr">
        <is>
          <t xml:space="preserve">  Implied Q-avg ($M, Y1 / 4)</t>
        </is>
      </c>
      <c r="B19" s="9">
        <f>Forecast!C3/4</f>
        <v/>
      </c>
    </row>
    <row r="20">
      <c r="A20" s="5" t="inlineStr">
        <is>
          <t xml:space="preserve">  Guidance revenue midpoint</t>
        </is>
      </c>
      <c r="B20" s="9">
        <f>IFERROR((B11+B12)/2,"")</f>
        <v/>
      </c>
    </row>
    <row r="21">
      <c r="A21" s="5" t="inlineStr">
        <is>
          <t xml:space="preserve">  Implied Q-avg / guidance midpoint</t>
        </is>
      </c>
      <c r="B21" s="10">
        <f>IFERROR(B19/B20,"")</f>
        <v/>
      </c>
    </row>
    <row r="22">
      <c r="A22" s="5" t="inlineStr"/>
      <c r="B22" s="4" t="inlineStr"/>
    </row>
    <row r="23">
      <c r="A23" s="6" t="inlineStr">
        <is>
          <t>Non-recurring items (carved out for normalization)</t>
        </is>
      </c>
      <c r="B23" s="7" t="n"/>
    </row>
    <row r="24">
      <c r="A24" s="5" t="inlineStr">
        <is>
          <t xml:space="preserve">  #1 Description</t>
        </is>
      </c>
      <c r="B24" s="3" t="inlineStr"/>
    </row>
    <row r="25">
      <c r="A25" s="5" t="inlineStr">
        <is>
          <t xml:space="preserve">  #1 Period</t>
        </is>
      </c>
      <c r="B25" s="3" t="inlineStr"/>
    </row>
    <row r="26">
      <c r="A26" s="5" t="inlineStr">
        <is>
          <t xml:space="preserve">  #1 Line item</t>
        </is>
      </c>
      <c r="B26" s="3" t="inlineStr"/>
    </row>
    <row r="27">
      <c r="A27" s="5" t="inlineStr">
        <is>
          <t xml:space="preserve">  #1 Amount ($M)</t>
        </is>
      </c>
      <c r="B27" s="8" t="inlineStr"/>
    </row>
    <row r="28" ht="50" customHeight="1">
      <c r="A28" s="5" t="inlineStr">
        <is>
          <t xml:space="preserve">  #1 Source quote</t>
        </is>
      </c>
      <c r="B28" s="3" t="inlineStr"/>
    </row>
    <row r="29">
      <c r="A29" s="5" t="inlineStr">
        <is>
          <t xml:space="preserve">  #2 Description</t>
        </is>
      </c>
      <c r="B29" s="3" t="inlineStr"/>
    </row>
    <row r="30">
      <c r="A30" s="5" t="inlineStr">
        <is>
          <t xml:space="preserve">  #2 Period</t>
        </is>
      </c>
      <c r="B30" s="3" t="inlineStr"/>
    </row>
    <row r="31">
      <c r="A31" s="5" t="inlineStr">
        <is>
          <t xml:space="preserve">  #2 Line item</t>
        </is>
      </c>
      <c r="B31" s="3" t="inlineStr"/>
    </row>
    <row r="32">
      <c r="A32" s="5" t="inlineStr">
        <is>
          <t xml:space="preserve">  #2 Amount ($M)</t>
        </is>
      </c>
      <c r="B32" s="8" t="inlineStr"/>
    </row>
    <row r="33" ht="50" customHeight="1">
      <c r="A33" s="5" t="inlineStr">
        <is>
          <t xml:space="preserve">  #2 Source quote</t>
        </is>
      </c>
      <c r="B33" s="3" t="inlineStr"/>
    </row>
    <row r="34">
      <c r="A34" s="5" t="inlineStr">
        <is>
          <t xml:space="preserve">  #3 Description</t>
        </is>
      </c>
      <c r="B34" s="3" t="inlineStr"/>
    </row>
    <row r="35">
      <c r="A35" s="5" t="inlineStr">
        <is>
          <t xml:space="preserve">  #3 Period</t>
        </is>
      </c>
      <c r="B35" s="3" t="inlineStr"/>
    </row>
    <row r="36">
      <c r="A36" s="5" t="inlineStr">
        <is>
          <t xml:space="preserve">  #3 Line item</t>
        </is>
      </c>
      <c r="B36" s="3" t="inlineStr"/>
    </row>
    <row r="37">
      <c r="A37" s="5" t="inlineStr">
        <is>
          <t xml:space="preserve">  #3 Amount ($M)</t>
        </is>
      </c>
      <c r="B37" s="8" t="inlineStr"/>
    </row>
    <row r="38" ht="50" customHeight="1">
      <c r="A38" s="5" t="inlineStr">
        <is>
          <t xml:space="preserve">  #3 Source quote</t>
        </is>
      </c>
      <c r="B38" s="3" t="inlineStr"/>
    </row>
    <row r="39">
      <c r="A39" s="5" t="inlineStr"/>
      <c r="B39" s="4" t="inlineStr"/>
    </row>
    <row r="40">
      <c r="A40" s="6" t="inlineStr">
        <is>
          <t>Other income normalization</t>
        </is>
      </c>
      <c r="B40" s="7" t="n"/>
    </row>
    <row r="41">
      <c r="A41" s="5" t="inlineStr">
        <is>
          <t xml:space="preserve">  Other income (as-reported)</t>
        </is>
      </c>
      <c r="B41" s="9">
        <f>Historicals!D13</f>
        <v/>
      </c>
    </row>
    <row r="42">
      <c r="A42" s="5" t="inlineStr">
        <is>
          <t xml:space="preserve">  Non-recurring items, sum</t>
        </is>
      </c>
      <c r="B42" s="9">
        <f>SUM(B27,B32,B37)</f>
        <v/>
      </c>
    </row>
    <row r="43">
      <c r="A43" s="5" t="inlineStr">
        <is>
          <t xml:space="preserve">  Normalized Other income</t>
        </is>
      </c>
      <c r="B43" s="9">
        <f>B41-B42</f>
        <v/>
      </c>
    </row>
    <row r="44">
      <c r="A44" s="5" t="inlineStr"/>
      <c r="B44" s="4" t="inlineStr"/>
    </row>
    <row r="45">
      <c r="A45" s="2" t="inlineStr">
        <is>
          <t>Methodology</t>
        </is>
      </c>
      <c r="B45" s="4" t="inlineStr">
        <is>
          <t>Two-stage FCFF DCF. Explicit 10-year forecast → terminal value via stable-growth Gordon. Operating leases treated as debt (post-ASC 842).</t>
        </is>
      </c>
    </row>
    <row r="46">
      <c r="A46" s="5" t="inlineStr"/>
      <c r="B46" s="4" t="inlineStr"/>
    </row>
    <row r="47">
      <c r="A47" s="2" t="inlineStr">
        <is>
          <t>Cell color legend</t>
        </is>
      </c>
      <c r="B47" s="4" t="inlineStr"/>
    </row>
    <row r="48">
      <c r="A48" s="5" t="inlineStr">
        <is>
          <t xml:space="preserve">  Yellow</t>
        </is>
      </c>
      <c r="B48" s="4" t="inlineStr">
        <is>
          <t>Analyst input — tunable</t>
        </is>
      </c>
    </row>
    <row r="49">
      <c r="A49" s="5" t="inlineStr">
        <is>
          <t xml:space="preserve">  Green</t>
        </is>
      </c>
      <c r="B49" s="4" t="inlineStr">
        <is>
          <t>Pipeline-populated (sourced from filings/data room)</t>
        </is>
      </c>
    </row>
    <row r="50">
      <c r="A50" s="5" t="inlineStr">
        <is>
          <t xml:space="preserve">  White</t>
        </is>
      </c>
      <c r="B50" s="4" t="inlineStr">
        <is>
          <t>Computed (formula)</t>
        </is>
      </c>
    </row>
    <row r="51">
      <c r="A51" s="5" t="inlineStr"/>
      <c r="B51" s="4" t="inlineStr"/>
    </row>
    <row r="52">
      <c r="A52" s="2" t="inlineStr">
        <is>
          <t>Sheets</t>
        </is>
      </c>
      <c r="B52" s="4" t="inlineStr"/>
    </row>
    <row r="53">
      <c r="A53" s="5" t="inlineStr">
        <is>
          <t xml:space="preserve">  Inputs</t>
        </is>
      </c>
      <c r="B53" s="4" t="inlineStr">
        <is>
          <t>Tunable assumptions + balance-sheet bridge items</t>
        </is>
      </c>
    </row>
    <row r="54">
      <c r="A54" s="5" t="inlineStr">
        <is>
          <t xml:space="preserve">  Historicals</t>
        </is>
      </c>
      <c r="B54" s="4" t="inlineStr">
        <is>
          <t>3 years of P&amp;L + cash flow + capex</t>
        </is>
      </c>
    </row>
    <row r="55">
      <c r="A55" s="5" t="inlineStr">
        <is>
          <t xml:space="preserve">  Segments</t>
        </is>
      </c>
      <c r="B55" s="4" t="inlineStr">
        <is>
          <t>Revenue &amp; operating income by reportable segment</t>
        </is>
      </c>
    </row>
    <row r="56">
      <c r="A56" s="5" t="inlineStr">
        <is>
          <t xml:space="preserve">  Forecast</t>
        </is>
      </c>
      <c r="B56" s="4" t="inlineStr">
        <is>
          <t>10-year FCFF projection + terminal year</t>
        </is>
      </c>
    </row>
    <row r="57">
      <c r="A57" s="5" t="inlineStr">
        <is>
          <t xml:space="preserve">  WACC</t>
        </is>
      </c>
      <c r="B57" s="4" t="inlineStr">
        <is>
          <t>Cost of capital build</t>
        </is>
      </c>
    </row>
    <row r="58">
      <c r="A58" s="5" t="inlineStr">
        <is>
          <t xml:space="preserve">  Valuation</t>
        </is>
      </c>
      <c r="B58" s="4" t="inlineStr">
        <is>
          <t>Sum-of-PV → equity value → value per share</t>
        </is>
      </c>
    </row>
  </sheetData>
  <mergeCells count="1"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6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Notes</t>
        </is>
      </c>
    </row>
    <row r="2">
      <c r="A2" s="6" t="inlineStr">
        <is>
          <t>— Capital structure &amp; cost of capital —</t>
        </is>
      </c>
    </row>
    <row r="3">
      <c r="A3" t="inlineStr">
        <is>
          <t>Risk-free rate (10Y UST)</t>
        </is>
      </c>
      <c r="B3" s="12" t="n">
        <v>0.042</v>
      </c>
      <c r="C3" s="4" t="inlineStr">
        <is>
          <t>Sourced from macro feed; override to lock.</t>
        </is>
      </c>
    </row>
    <row r="4">
      <c r="A4" t="inlineStr">
        <is>
          <t>Equity risk premium (mature US)</t>
        </is>
      </c>
      <c r="B4" s="12" t="n">
        <v>0.0475</v>
      </c>
      <c r="C4" s="4" t="inlineStr">
        <is>
          <t>Sourced from industry feed (implied ERP); override to lock.</t>
        </is>
      </c>
    </row>
    <row r="5">
      <c r="A5" t="inlineStr">
        <is>
          <t>Levered beta</t>
        </is>
      </c>
      <c r="B5" s="13" t="n">
        <v>1.1</v>
      </c>
      <c r="C5" s="4" t="inlineStr">
        <is>
          <t>Sourced from industry feed; bottom-up override is appropriate for multi-business issuers.</t>
        </is>
      </c>
    </row>
    <row r="6">
      <c r="A6" t="inlineStr">
        <is>
          <t>Pre-tax cost of debt</t>
        </is>
      </c>
      <c r="B6" s="12" t="n">
        <v>0.055</v>
      </c>
      <c r="C6" s="4" t="inlineStr">
        <is>
          <t>Sourced from macro feed (BAA corp yield); refine by credit rating.</t>
        </is>
      </c>
    </row>
    <row r="7">
      <c r="A7" t="inlineStr">
        <is>
          <t>Marginal tax rate</t>
        </is>
      </c>
      <c r="B7" s="14" t="n">
        <v>0.25</v>
      </c>
      <c r="C7" s="4" t="inlineStr">
        <is>
          <t>Statutory + state for jurisdiction of incorporation.</t>
        </is>
      </c>
    </row>
    <row r="8">
      <c r="A8" t="inlineStr">
        <is>
          <t>Effective tax rate (current)</t>
        </is>
      </c>
      <c r="B8" s="12" t="n"/>
      <c r="C8" s="4" t="inlineStr">
        <is>
          <t>Provision / pre-tax income — pipeline pulls from filing.</t>
        </is>
      </c>
    </row>
    <row r="9">
      <c r="A9" s="6" t="inlineStr"/>
    </row>
    <row r="10">
      <c r="A10" s="6" t="inlineStr">
        <is>
          <t>— Operating story —</t>
        </is>
      </c>
    </row>
    <row r="11">
      <c r="A11" t="inlineStr">
        <is>
          <t>Compounded revenue growth, Y1-Y5</t>
        </is>
      </c>
      <c r="B11" s="14" t="n">
        <v>0.08</v>
      </c>
      <c r="C11" s="4" t="inlineStr">
        <is>
          <t>Glide path to terminal. Analyst thesis input.</t>
        </is>
      </c>
    </row>
    <row r="12">
      <c r="A12" t="inlineStr">
        <is>
          <t>Target pre-tax operating margin (Y10)</t>
        </is>
      </c>
      <c r="B12" s="12" t="n">
        <v>0.15</v>
      </c>
      <c r="C12" s="4" t="inlineStr">
        <is>
          <t>Sourced from industry feed; override for thesis upside/downside.</t>
        </is>
      </c>
    </row>
    <row r="13">
      <c r="A13" t="inlineStr">
        <is>
          <t>Year margins reach target</t>
        </is>
      </c>
      <c r="B13" s="15" t="n">
        <v>5</v>
      </c>
      <c r="C13" s="4" t="inlineStr">
        <is>
          <t>Linear convergence over this many years.</t>
        </is>
      </c>
    </row>
    <row r="14">
      <c r="A14" t="inlineStr">
        <is>
          <t>Sales-to-capital ratio (reinvestment)</t>
        </is>
      </c>
      <c r="B14" s="16" t="n">
        <v>1.5</v>
      </c>
      <c r="C14" s="4" t="inlineStr">
        <is>
          <t>Sourced from industry feed when available.</t>
        </is>
      </c>
    </row>
    <row r="15">
      <c r="A15" s="6" t="inlineStr"/>
    </row>
    <row r="16">
      <c r="A16" s="6" t="inlineStr">
        <is>
          <t>— Terminal-year assumptions —</t>
        </is>
      </c>
    </row>
    <row r="17">
      <c r="A17" t="inlineStr">
        <is>
          <t>Terminal growth rate (perpetuity)</t>
        </is>
      </c>
      <c r="B17" s="14" t="n">
        <v>0.042</v>
      </c>
      <c r="C17" s="4" t="inlineStr">
        <is>
          <t>Capped at risk-free rate. Analyst input.</t>
        </is>
      </c>
    </row>
    <row r="18">
      <c r="A18" t="inlineStr">
        <is>
          <t>Terminal cost of capital</t>
        </is>
      </c>
      <c r="B18" s="12" t="n">
        <v>0.075</v>
      </c>
      <c r="C18" s="4" t="inlineStr">
        <is>
          <t>Sourced from industry feed (industry WACC); converges to mature-firm.</t>
        </is>
      </c>
    </row>
    <row r="19">
      <c r="A19" t="inlineStr">
        <is>
          <t>Terminal ROIC</t>
        </is>
      </c>
      <c r="B19" s="12" t="n">
        <v>0.12</v>
      </c>
      <c r="C19" s="4" t="inlineStr">
        <is>
          <t>Sourced from industry feed; sustainable competitive return.</t>
        </is>
      </c>
    </row>
    <row r="20">
      <c r="A20" s="6" t="inlineStr"/>
    </row>
    <row r="21">
      <c r="A21" s="6" t="inlineStr">
        <is>
          <t>— Balance sheet add-backs (pipeline-populated) —</t>
        </is>
      </c>
    </row>
    <row r="22">
      <c r="A22" t="inlineStr">
        <is>
          <t>Cash &amp; cash equivalents</t>
        </is>
      </c>
      <c r="B22" s="17" t="n"/>
      <c r="C22" s="4" t="inlineStr">
        <is>
          <t>Most recent balance sheet.</t>
        </is>
      </c>
    </row>
    <row r="23">
      <c r="A23" t="inlineStr">
        <is>
          <t>Marketable securities</t>
        </is>
      </c>
      <c r="B23" s="17" t="n"/>
      <c r="C23" s="4" t="inlineStr">
        <is>
          <t>Most recent balance sheet.</t>
        </is>
      </c>
    </row>
    <row r="24">
      <c r="A24" t="inlineStr">
        <is>
          <t>Long-term debt</t>
        </is>
      </c>
      <c r="B24" s="17" t="n"/>
      <c r="C24" s="4" t="inlineStr">
        <is>
          <t>Most recent balance sheet.</t>
        </is>
      </c>
    </row>
    <row r="25">
      <c r="A25" t="inlineStr">
        <is>
          <t>Long-term lease liabilities (treated as debt)</t>
        </is>
      </c>
      <c r="B25" s="17" t="n"/>
      <c r="C25" s="4" t="inlineStr">
        <is>
          <t>Post-ASC 842; on balance sheet.</t>
        </is>
      </c>
    </row>
    <row r="26">
      <c r="A26" t="inlineStr">
        <is>
          <t>Shares outstanding (millions)</t>
        </is>
      </c>
      <c r="B26" s="18" t="n"/>
      <c r="C26" s="4" t="inlineStr">
        <is>
          <t>Most recent count from cover page.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Line item ($M)</t>
        </is>
      </c>
      <c r="B1" s="11" t="inlineStr">
        <is>
          <t>FY-2</t>
        </is>
      </c>
      <c r="C1" s="11" t="inlineStr">
        <is>
          <t>FY-1</t>
        </is>
      </c>
      <c r="D1" s="11" t="inlineStr">
        <is>
          <t>FY (latest)</t>
        </is>
      </c>
    </row>
    <row r="2">
      <c r="A2" s="5" t="inlineStr">
        <is>
          <t>Net sales</t>
        </is>
      </c>
      <c r="B2" s="17" t="n"/>
      <c r="C2" s="17" t="n"/>
      <c r="D2" s="17" t="n"/>
    </row>
    <row r="3">
      <c r="A3" s="5" t="inlineStr">
        <is>
          <t>Cost of sales</t>
        </is>
      </c>
      <c r="B3" s="17" t="n"/>
      <c r="C3" s="17" t="n"/>
      <c r="D3" s="17" t="n"/>
    </row>
    <row r="4">
      <c r="A4" s="5" t="inlineStr">
        <is>
          <t>Fulfillment</t>
        </is>
      </c>
      <c r="B4" s="17" t="n"/>
      <c r="C4" s="17" t="n"/>
      <c r="D4" s="17" t="n"/>
    </row>
    <row r="5">
      <c r="A5" s="5" t="inlineStr">
        <is>
          <t>Technology and infrastructure</t>
        </is>
      </c>
      <c r="B5" s="17" t="n"/>
      <c r="C5" s="17" t="n"/>
      <c r="D5" s="17" t="n"/>
    </row>
    <row r="6">
      <c r="A6" s="5" t="inlineStr">
        <is>
          <t>Sales and marketing</t>
        </is>
      </c>
      <c r="B6" s="17" t="n"/>
      <c r="C6" s="17" t="n"/>
      <c r="D6" s="17" t="n"/>
    </row>
    <row r="7">
      <c r="A7" s="5" t="inlineStr">
        <is>
          <t>General and administrative</t>
        </is>
      </c>
      <c r="B7" s="17" t="n"/>
      <c r="C7" s="17" t="n"/>
      <c r="D7" s="17" t="n"/>
    </row>
    <row r="8">
      <c r="A8" s="5" t="inlineStr">
        <is>
          <t>Other operating expense</t>
        </is>
      </c>
      <c r="B8" s="17" t="n"/>
      <c r="C8" s="17" t="n"/>
      <c r="D8" s="17" t="n"/>
    </row>
    <row r="9">
      <c r="A9" s="19" t="inlineStr">
        <is>
          <t>Total operating expenses</t>
        </is>
      </c>
      <c r="B9" s="17" t="n"/>
      <c r="C9" s="17" t="n"/>
      <c r="D9" s="17" t="n"/>
    </row>
    <row r="10">
      <c r="A10" s="19" t="inlineStr">
        <is>
          <t>Operating income</t>
        </is>
      </c>
      <c r="B10" s="17" t="n"/>
      <c r="C10" s="17" t="n"/>
      <c r="D10" s="17" t="n"/>
    </row>
    <row r="11">
      <c r="A11" s="5" t="inlineStr">
        <is>
          <t>Interest income</t>
        </is>
      </c>
      <c r="B11" s="17" t="n"/>
      <c r="C11" s="17" t="n"/>
      <c r="D11" s="17" t="n"/>
    </row>
    <row r="12">
      <c r="A12" s="5" t="inlineStr">
        <is>
          <t>Interest expense</t>
        </is>
      </c>
      <c r="B12" s="17" t="n"/>
      <c r="C12" s="17" t="n"/>
      <c r="D12" s="17" t="n"/>
    </row>
    <row r="13">
      <c r="A13" s="5" t="inlineStr">
        <is>
          <t>Other income (expense), net</t>
        </is>
      </c>
      <c r="B13" s="17" t="n"/>
      <c r="C13" s="17" t="n"/>
      <c r="D13" s="17" t="n"/>
    </row>
    <row r="14">
      <c r="A14" s="5" t="inlineStr">
        <is>
          <t>Income before tax</t>
        </is>
      </c>
      <c r="B14" s="17" t="n"/>
      <c r="C14" s="17" t="n"/>
      <c r="D14" s="17" t="n"/>
    </row>
    <row r="15">
      <c r="A15" s="5" t="inlineStr">
        <is>
          <t>Provision for tax</t>
        </is>
      </c>
      <c r="B15" s="17" t="n"/>
      <c r="C15" s="17" t="n"/>
      <c r="D15" s="17" t="n"/>
    </row>
    <row r="16">
      <c r="A16" s="19" t="inlineStr">
        <is>
          <t>Net income</t>
        </is>
      </c>
      <c r="B16" s="17" t="n"/>
      <c r="C16" s="17" t="n"/>
      <c r="D16" s="17" t="n"/>
    </row>
    <row r="18">
      <c r="A18" s="19" t="inlineStr">
        <is>
          <t>Operating margin</t>
        </is>
      </c>
      <c r="B18" s="10">
        <f>IFERROR(B10/B2,"")</f>
        <v/>
      </c>
      <c r="C18" s="10">
        <f>IFERROR(C10/C2,"")</f>
        <v/>
      </c>
      <c r="D18" s="10">
        <f>IFERROR(D10/D2,"")</f>
        <v/>
      </c>
    </row>
    <row r="19">
      <c r="A19" s="5" t="inlineStr">
        <is>
          <t>Capex (PP&amp;E purchases, net)</t>
        </is>
      </c>
      <c r="B19" s="17" t="n"/>
      <c r="C19" s="17" t="n"/>
      <c r="D19" s="17" t="n"/>
    </row>
    <row r="20">
      <c r="A20" s="5" t="inlineStr">
        <is>
          <t>Cash from operations</t>
        </is>
      </c>
      <c r="B20" s="17" t="n"/>
      <c r="C20" s="17" t="n"/>
      <c r="D20" s="17" t="n"/>
    </row>
    <row r="21">
      <c r="A21" s="19" t="inlineStr">
        <is>
          <t>Free cash flow</t>
        </is>
      </c>
      <c r="B21" s="17" t="n"/>
      <c r="C21" s="17" t="n"/>
      <c r="D21" s="1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Segment</t>
        </is>
      </c>
      <c r="B1" s="11" t="inlineStr">
        <is>
          <t>FY-2</t>
        </is>
      </c>
      <c r="C1" s="11" t="inlineStr">
        <is>
          <t>FY-1</t>
        </is>
      </c>
      <c r="D1" s="11" t="inlineStr">
        <is>
          <t>FY (latest)</t>
        </is>
      </c>
      <c r="E1" s="11" t="inlineStr">
        <is>
          <t>YoY growth</t>
        </is>
      </c>
    </row>
    <row r="2">
      <c r="A2" s="6" t="inlineStr">
        <is>
          <t>Net sales by segment ($M)</t>
        </is>
      </c>
    </row>
    <row r="3">
      <c r="A3" s="20" t="n"/>
      <c r="B3" s="17" t="n"/>
      <c r="C3" s="17" t="n"/>
      <c r="D3" s="17" t="n"/>
      <c r="E3" s="10">
        <f>IFERROR(D3/C3-1,"")</f>
        <v/>
      </c>
    </row>
    <row r="4">
      <c r="A4" s="20" t="n"/>
      <c r="B4" s="17" t="n"/>
      <c r="C4" s="17" t="n"/>
      <c r="D4" s="17" t="n"/>
      <c r="E4" s="10">
        <f>IFERROR(D4/C4-1,"")</f>
        <v/>
      </c>
    </row>
    <row r="5">
      <c r="A5" s="20" t="n"/>
      <c r="B5" s="17" t="n"/>
      <c r="C5" s="17" t="n"/>
      <c r="D5" s="17" t="n"/>
      <c r="E5" s="10">
        <f>IFERROR(D5/C5-1,"")</f>
        <v/>
      </c>
    </row>
    <row r="6">
      <c r="A6" s="20" t="n"/>
      <c r="B6" s="17" t="n"/>
      <c r="C6" s="17" t="n"/>
      <c r="D6" s="17" t="n"/>
      <c r="E6" s="10">
        <f>IFERROR(D6/C6-1,"")</f>
        <v/>
      </c>
    </row>
    <row r="7">
      <c r="A7" s="20" t="n"/>
      <c r="B7" s="17" t="n"/>
      <c r="C7" s="17" t="n"/>
      <c r="D7" s="17" t="n"/>
      <c r="E7" s="10">
        <f>IFERROR(D7/C7-1,"")</f>
        <v/>
      </c>
    </row>
    <row r="8">
      <c r="A8" s="19" t="inlineStr">
        <is>
          <t>Total</t>
        </is>
      </c>
      <c r="B8" s="21">
        <f>SUM(B3:B7)</f>
        <v/>
      </c>
      <c r="C8" s="21">
        <f>SUM(C3:C7)</f>
        <v/>
      </c>
      <c r="D8" s="21">
        <f>SUM(D3:D7)</f>
        <v/>
      </c>
      <c r="E8" s="22">
        <f>IFERROR(D8/C8-1,"")</f>
        <v/>
      </c>
    </row>
    <row r="10">
      <c r="A10" s="6" t="inlineStr">
        <is>
          <t>Operating income by segment ($M)</t>
        </is>
      </c>
    </row>
    <row r="11">
      <c r="A11" s="23">
        <f>A3</f>
        <v/>
      </c>
      <c r="B11" s="17" t="n"/>
      <c r="C11" s="17" t="n"/>
      <c r="D11" s="17" t="n"/>
    </row>
    <row r="12">
      <c r="A12" s="23">
        <f>A4</f>
        <v/>
      </c>
      <c r="B12" s="17" t="n"/>
      <c r="C12" s="17" t="n"/>
      <c r="D12" s="17" t="n"/>
    </row>
    <row r="13">
      <c r="A13" s="23">
        <f>A5</f>
        <v/>
      </c>
      <c r="B13" s="17" t="n"/>
      <c r="C13" s="17" t="n"/>
      <c r="D13" s="17" t="n"/>
    </row>
    <row r="14">
      <c r="A14" s="23">
        <f>A6</f>
        <v/>
      </c>
      <c r="B14" s="17" t="n"/>
      <c r="C14" s="17" t="n"/>
      <c r="D14" s="17" t="n"/>
    </row>
    <row r="15">
      <c r="A15" s="23">
        <f>A7</f>
        <v/>
      </c>
      <c r="B15" s="17" t="n"/>
      <c r="C15" s="17" t="n"/>
      <c r="D15" s="17" t="n"/>
    </row>
    <row r="16">
      <c r="A16" s="19" t="inlineStr">
        <is>
          <t>Total</t>
        </is>
      </c>
      <c r="B16" s="21">
        <f>SUM(B11:B15)</f>
        <v/>
      </c>
      <c r="C16" s="21">
        <f>SUM(C11:C15)</f>
        <v/>
      </c>
      <c r="D16" s="21">
        <f>SUM(D11:D15)</f>
        <v/>
      </c>
    </row>
    <row r="18">
      <c r="A18" s="6" t="inlineStr">
        <is>
          <t>Operating margin by segment</t>
        </is>
      </c>
    </row>
    <row r="19">
      <c r="A19" s="23">
        <f>A3</f>
        <v/>
      </c>
      <c r="B19" s="10">
        <f>IFERROR(B11/B3,"")</f>
        <v/>
      </c>
      <c r="C19" s="10">
        <f>IFERROR(C11/C3,"")</f>
        <v/>
      </c>
      <c r="D19" s="10">
        <f>IFERROR(D11/D3,"")</f>
        <v/>
      </c>
    </row>
    <row r="20">
      <c r="A20" s="23">
        <f>A4</f>
        <v/>
      </c>
      <c r="B20" s="10">
        <f>IFERROR(B12/B4,"")</f>
        <v/>
      </c>
      <c r="C20" s="10">
        <f>IFERROR(C12/C4,"")</f>
        <v/>
      </c>
      <c r="D20" s="10">
        <f>IFERROR(D12/D4,"")</f>
        <v/>
      </c>
    </row>
    <row r="21">
      <c r="A21" s="23">
        <f>A5</f>
        <v/>
      </c>
      <c r="B21" s="10">
        <f>IFERROR(B13/B5,"")</f>
        <v/>
      </c>
      <c r="C21" s="10">
        <f>IFERROR(C13/C5,"")</f>
        <v/>
      </c>
      <c r="D21" s="10">
        <f>IFERROR(D13/D5,"")</f>
        <v/>
      </c>
    </row>
    <row r="22">
      <c r="A22" s="23">
        <f>A6</f>
        <v/>
      </c>
      <c r="B22" s="10">
        <f>IFERROR(B14/B6,"")</f>
        <v/>
      </c>
      <c r="C22" s="10">
        <f>IFERROR(C14/C6,"")</f>
        <v/>
      </c>
      <c r="D22" s="10">
        <f>IFERROR(D14/D6,"")</f>
        <v/>
      </c>
    </row>
    <row r="23">
      <c r="A23" s="23">
        <f>A7</f>
        <v/>
      </c>
      <c r="B23" s="10">
        <f>IFERROR(B15/B7,"")</f>
        <v/>
      </c>
      <c r="C23" s="10">
        <f>IFERROR(C15/C7,"")</f>
        <v/>
      </c>
      <c r="D23" s="10">
        <f>IFERROR(D15/D7,"")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1" t="inlineStr">
        <is>
          <t>Line item ($M)</t>
        </is>
      </c>
      <c r="B1" s="11" t="inlineStr">
        <is>
          <t>Base (FY latest)</t>
        </is>
      </c>
      <c r="C1" s="11" t="inlineStr">
        <is>
          <t>Y1</t>
        </is>
      </c>
      <c r="D1" s="11" t="inlineStr">
        <is>
          <t>Y2</t>
        </is>
      </c>
      <c r="E1" s="11" t="inlineStr">
        <is>
          <t>Y3</t>
        </is>
      </c>
      <c r="F1" s="11" t="inlineStr">
        <is>
          <t>Y4</t>
        </is>
      </c>
      <c r="G1" s="11" t="inlineStr">
        <is>
          <t>Y5</t>
        </is>
      </c>
      <c r="H1" s="11" t="inlineStr">
        <is>
          <t>Y6</t>
        </is>
      </c>
      <c r="I1" s="11" t="inlineStr">
        <is>
          <t>Y7</t>
        </is>
      </c>
      <c r="J1" s="11" t="inlineStr">
        <is>
          <t>Y8</t>
        </is>
      </c>
      <c r="K1" s="11" t="inlineStr">
        <is>
          <t>Y9</t>
        </is>
      </c>
      <c r="L1" s="11" t="inlineStr">
        <is>
          <t>Y10</t>
        </is>
      </c>
      <c r="M1" s="11" t="inlineStr">
        <is>
          <t>Terminal</t>
        </is>
      </c>
    </row>
    <row r="2">
      <c r="A2" t="inlineStr">
        <is>
          <t>Revenue growth rate</t>
        </is>
      </c>
      <c r="B2" s="24" t="n"/>
      <c r="C2" s="25">
        <f>Inputs!B11</f>
        <v/>
      </c>
      <c r="D2" s="25">
        <f>Inputs!B11</f>
        <v/>
      </c>
      <c r="E2" s="25">
        <f>Inputs!B11</f>
        <v/>
      </c>
      <c r="F2" s="25">
        <f>Inputs!B11</f>
        <v/>
      </c>
      <c r="G2" s="25">
        <f>Inputs!B11</f>
        <v/>
      </c>
      <c r="H2" s="25">
        <f>Inputs!B11-((Inputs!B11-Inputs!B17)/5)*1</f>
        <v/>
      </c>
      <c r="I2" s="25">
        <f>Inputs!B11-((Inputs!B11-Inputs!B17)/5)*2</f>
        <v/>
      </c>
      <c r="J2" s="25">
        <f>Inputs!B11-((Inputs!B11-Inputs!B17)/5)*3</f>
        <v/>
      </c>
      <c r="K2" s="25">
        <f>Inputs!B11-((Inputs!B11-Inputs!B17)/5)*4</f>
        <v/>
      </c>
      <c r="L2" s="25">
        <f>Inputs!B11-((Inputs!B11-Inputs!B17)/5)*5</f>
        <v/>
      </c>
      <c r="M2" s="25">
        <f>Inputs!B17</f>
        <v/>
      </c>
    </row>
    <row r="3">
      <c r="A3" t="inlineStr">
        <is>
          <t>Revenues</t>
        </is>
      </c>
      <c r="B3" s="17" t="n"/>
      <c r="C3" s="9">
        <f>IFERROR(B3*(1+C2),"")</f>
        <v/>
      </c>
      <c r="D3" s="9">
        <f>IFERROR(C3*(1+D2),"")</f>
        <v/>
      </c>
      <c r="E3" s="9">
        <f>IFERROR(D3*(1+E2),"")</f>
        <v/>
      </c>
      <c r="F3" s="9">
        <f>IFERROR(E3*(1+F2),"")</f>
        <v/>
      </c>
      <c r="G3" s="9">
        <f>IFERROR(F3*(1+G2),"")</f>
        <v/>
      </c>
      <c r="H3" s="9">
        <f>IFERROR(G3*(1+H2),"")</f>
        <v/>
      </c>
      <c r="I3" s="9">
        <f>IFERROR(H3*(1+I2),"")</f>
        <v/>
      </c>
      <c r="J3" s="9">
        <f>IFERROR(I3*(1+J2),"")</f>
        <v/>
      </c>
      <c r="K3" s="9">
        <f>IFERROR(J3*(1+K2),"")</f>
        <v/>
      </c>
      <c r="L3" s="9">
        <f>IFERROR(K3*(1+L2),"")</f>
        <v/>
      </c>
      <c r="M3" s="9">
        <f>IFERROR(L3*(1+M2),"")</f>
        <v/>
      </c>
    </row>
    <row r="4">
      <c r="A4" t="inlineStr">
        <is>
          <t>Operating margin</t>
        </is>
      </c>
      <c r="B4" s="12" t="n"/>
      <c r="C4" s="25">
        <f>IFERROR(IF(1&gt;Inputs!B13,Inputs!B12,$B$4+((Inputs!B12-$B$4)/Inputs!B13)*1),"")</f>
        <v/>
      </c>
      <c r="D4" s="25">
        <f>IFERROR(IF(2&gt;Inputs!B13,Inputs!B12,$B$4+((Inputs!B12-$B$4)/Inputs!B13)*2),"")</f>
        <v/>
      </c>
      <c r="E4" s="25">
        <f>IFERROR(IF(3&gt;Inputs!B13,Inputs!B12,$B$4+((Inputs!B12-$B$4)/Inputs!B13)*3),"")</f>
        <v/>
      </c>
      <c r="F4" s="25">
        <f>IFERROR(IF(4&gt;Inputs!B13,Inputs!B12,$B$4+((Inputs!B12-$B$4)/Inputs!B13)*4),"")</f>
        <v/>
      </c>
      <c r="G4" s="25">
        <f>IFERROR(IF(5&gt;Inputs!B13,Inputs!B12,$B$4+((Inputs!B12-$B$4)/Inputs!B13)*5),"")</f>
        <v/>
      </c>
      <c r="H4" s="25">
        <f>IFERROR(IF(6&gt;Inputs!B13,Inputs!B12,$B$4+((Inputs!B12-$B$4)/Inputs!B13)*6),"")</f>
        <v/>
      </c>
      <c r="I4" s="25">
        <f>IFERROR(IF(7&gt;Inputs!B13,Inputs!B12,$B$4+((Inputs!B12-$B$4)/Inputs!B13)*7),"")</f>
        <v/>
      </c>
      <c r="J4" s="25">
        <f>IFERROR(IF(8&gt;Inputs!B13,Inputs!B12,$B$4+((Inputs!B12-$B$4)/Inputs!B13)*8),"")</f>
        <v/>
      </c>
      <c r="K4" s="25">
        <f>IFERROR(IF(9&gt;Inputs!B13,Inputs!B12,$B$4+((Inputs!B12-$B$4)/Inputs!B13)*9),"")</f>
        <v/>
      </c>
      <c r="L4" s="25">
        <f>IFERROR(IF(10&gt;Inputs!B13,Inputs!B12,$B$4+((Inputs!B12-$B$4)/Inputs!B13)*10),"")</f>
        <v/>
      </c>
      <c r="M4" s="25">
        <f>Inputs!B12</f>
        <v/>
      </c>
    </row>
    <row r="5">
      <c r="A5" t="inlineStr">
        <is>
          <t>EBIT</t>
        </is>
      </c>
      <c r="B5" s="9">
        <f>IFERROR(B3*B4,"")</f>
        <v/>
      </c>
      <c r="C5" s="9">
        <f>IFERROR(C3*C4,"")</f>
        <v/>
      </c>
      <c r="D5" s="9">
        <f>IFERROR(D3*D4,"")</f>
        <v/>
      </c>
      <c r="E5" s="9">
        <f>IFERROR(E3*E4,"")</f>
        <v/>
      </c>
      <c r="F5" s="9">
        <f>IFERROR(F3*F4,"")</f>
        <v/>
      </c>
      <c r="G5" s="9">
        <f>IFERROR(G3*G4,"")</f>
        <v/>
      </c>
      <c r="H5" s="9">
        <f>IFERROR(H3*H4,"")</f>
        <v/>
      </c>
      <c r="I5" s="9">
        <f>IFERROR(I3*I4,"")</f>
        <v/>
      </c>
      <c r="J5" s="9">
        <f>IFERROR(J3*J4,"")</f>
        <v/>
      </c>
      <c r="K5" s="9">
        <f>IFERROR(K3*K4,"")</f>
        <v/>
      </c>
      <c r="L5" s="9">
        <f>IFERROR(L3*L4,"")</f>
        <v/>
      </c>
      <c r="M5" s="9">
        <f>IFERROR(M3*M4,"")</f>
        <v/>
      </c>
    </row>
    <row r="6">
      <c r="A6" t="inlineStr">
        <is>
          <t>Tax rate</t>
        </is>
      </c>
      <c r="B6" s="25">
        <f>Inputs!B8</f>
        <v/>
      </c>
      <c r="C6" s="25">
        <f>IFERROR(Inputs!B8+((Inputs!B7-Inputs!B8)/10)*1,"")</f>
        <v/>
      </c>
      <c r="D6" s="25">
        <f>IFERROR(Inputs!B8+((Inputs!B7-Inputs!B8)/10)*2,"")</f>
        <v/>
      </c>
      <c r="E6" s="25">
        <f>IFERROR(Inputs!B8+((Inputs!B7-Inputs!B8)/10)*3,"")</f>
        <v/>
      </c>
      <c r="F6" s="25">
        <f>IFERROR(Inputs!B8+((Inputs!B7-Inputs!B8)/10)*4,"")</f>
        <v/>
      </c>
      <c r="G6" s="25">
        <f>IFERROR(Inputs!B8+((Inputs!B7-Inputs!B8)/10)*5,"")</f>
        <v/>
      </c>
      <c r="H6" s="25">
        <f>IFERROR(Inputs!B8+((Inputs!B7-Inputs!B8)/10)*6,"")</f>
        <v/>
      </c>
      <c r="I6" s="25">
        <f>IFERROR(Inputs!B8+((Inputs!B7-Inputs!B8)/10)*7,"")</f>
        <v/>
      </c>
      <c r="J6" s="25">
        <f>IFERROR(Inputs!B8+((Inputs!B7-Inputs!B8)/10)*8,"")</f>
        <v/>
      </c>
      <c r="K6" s="25">
        <f>IFERROR(Inputs!B8+((Inputs!B7-Inputs!B8)/10)*9,"")</f>
        <v/>
      </c>
      <c r="L6" s="25">
        <f>IFERROR(Inputs!B8+((Inputs!B7-Inputs!B8)/10)*10,"")</f>
        <v/>
      </c>
      <c r="M6" s="25">
        <f>Inputs!B7</f>
        <v/>
      </c>
    </row>
    <row r="7">
      <c r="A7" t="inlineStr">
        <is>
          <t>EBIT(1-t)</t>
        </is>
      </c>
      <c r="B7" s="9">
        <f>IFERROR(B5*(1-B6),"")</f>
        <v/>
      </c>
      <c r="C7" s="9">
        <f>IFERROR(C5*(1-C6),"")</f>
        <v/>
      </c>
      <c r="D7" s="9">
        <f>IFERROR(D5*(1-D6),"")</f>
        <v/>
      </c>
      <c r="E7" s="9">
        <f>IFERROR(E5*(1-E6),"")</f>
        <v/>
      </c>
      <c r="F7" s="9">
        <f>IFERROR(F5*(1-F6),"")</f>
        <v/>
      </c>
      <c r="G7" s="9">
        <f>IFERROR(G5*(1-G6),"")</f>
        <v/>
      </c>
      <c r="H7" s="9">
        <f>IFERROR(H5*(1-H6),"")</f>
        <v/>
      </c>
      <c r="I7" s="9">
        <f>IFERROR(I5*(1-I6),"")</f>
        <v/>
      </c>
      <c r="J7" s="9">
        <f>IFERROR(J5*(1-J6),"")</f>
        <v/>
      </c>
      <c r="K7" s="9">
        <f>IFERROR(K5*(1-K6),"")</f>
        <v/>
      </c>
      <c r="L7" s="9">
        <f>IFERROR(L5*(1-L6),"")</f>
        <v/>
      </c>
      <c r="M7" s="9">
        <f>IFERROR(M5*(1-M6),"")</f>
        <v/>
      </c>
    </row>
    <row r="8">
      <c r="A8" t="inlineStr">
        <is>
          <t>Reinvestment (ΔRev / S2C)</t>
        </is>
      </c>
      <c r="C8" s="9">
        <f>IFERROR((C3-B3)/Inputs!B14,"")</f>
        <v/>
      </c>
      <c r="D8" s="9">
        <f>IFERROR((D3-C3)/Inputs!B14,"")</f>
        <v/>
      </c>
      <c r="E8" s="9">
        <f>IFERROR((E3-D3)/Inputs!B14,"")</f>
        <v/>
      </c>
      <c r="F8" s="9">
        <f>IFERROR((F3-E3)/Inputs!B14,"")</f>
        <v/>
      </c>
      <c r="G8" s="9">
        <f>IFERROR((G3-F3)/Inputs!B14,"")</f>
        <v/>
      </c>
      <c r="H8" s="9">
        <f>IFERROR((H3-G3)/Inputs!B14,"")</f>
        <v/>
      </c>
      <c r="I8" s="9">
        <f>IFERROR((I3-H3)/Inputs!B14,"")</f>
        <v/>
      </c>
      <c r="J8" s="9">
        <f>IFERROR((J3-I3)/Inputs!B14,"")</f>
        <v/>
      </c>
      <c r="K8" s="9">
        <f>IFERROR((K3-J3)/Inputs!B14,"")</f>
        <v/>
      </c>
      <c r="L8" s="9">
        <f>IFERROR((L3-K3)/Inputs!B14,"")</f>
        <v/>
      </c>
      <c r="M8" s="9">
        <f>IFERROR(M7*(Inputs!B17/Inputs!B19),"")</f>
        <v/>
      </c>
    </row>
    <row r="9">
      <c r="A9" s="19" t="inlineStr">
        <is>
          <t>FCFF</t>
        </is>
      </c>
      <c r="C9" s="21">
        <f>IFERROR(C7-C8,"")</f>
        <v/>
      </c>
      <c r="D9" s="21">
        <f>IFERROR(D7-D8,"")</f>
        <v/>
      </c>
      <c r="E9" s="21">
        <f>IFERROR(E7-E8,"")</f>
        <v/>
      </c>
      <c r="F9" s="21">
        <f>IFERROR(F7-F8,"")</f>
        <v/>
      </c>
      <c r="G9" s="21">
        <f>IFERROR(G7-G8,"")</f>
        <v/>
      </c>
      <c r="H9" s="21">
        <f>IFERROR(H7-H8,"")</f>
        <v/>
      </c>
      <c r="I9" s="21">
        <f>IFERROR(I7-I8,"")</f>
        <v/>
      </c>
      <c r="J9" s="21">
        <f>IFERROR(J7-J8,"")</f>
        <v/>
      </c>
      <c r="K9" s="21">
        <f>IFERROR(K7-K8,"")</f>
        <v/>
      </c>
      <c r="L9" s="21">
        <f>IFERROR(L7-L8,"")</f>
        <v/>
      </c>
      <c r="M9" s="21">
        <f>IFERROR(M7-M8,"")</f>
        <v/>
      </c>
    </row>
    <row r="10">
      <c r="A10" t="inlineStr">
        <is>
          <t>Cost of capital (WACC)</t>
        </is>
      </c>
      <c r="C10" s="25">
        <f>WACC!B14</f>
        <v/>
      </c>
      <c r="D10" s="25">
        <f>WACC!B14</f>
        <v/>
      </c>
      <c r="E10" s="25">
        <f>WACC!B14</f>
        <v/>
      </c>
      <c r="F10" s="25">
        <f>WACC!B14</f>
        <v/>
      </c>
      <c r="G10" s="25">
        <f>WACC!B14</f>
        <v/>
      </c>
      <c r="H10" s="25">
        <f>WACC!B14-((WACC!B14-Inputs!B18)/5)*1</f>
        <v/>
      </c>
      <c r="I10" s="25">
        <f>WACC!B14-((WACC!B14-Inputs!B18)/5)*2</f>
        <v/>
      </c>
      <c r="J10" s="25">
        <f>WACC!B14-((WACC!B14-Inputs!B18)/5)*3</f>
        <v/>
      </c>
      <c r="K10" s="25">
        <f>WACC!B14-((WACC!B14-Inputs!B18)/5)*4</f>
        <v/>
      </c>
      <c r="L10" s="25">
        <f>WACC!B14-((WACC!B14-Inputs!B18)/5)*5</f>
        <v/>
      </c>
      <c r="M10" s="25">
        <f>Inputs!B18</f>
        <v/>
      </c>
    </row>
    <row r="11">
      <c r="A11" t="inlineStr">
        <is>
          <t>Cumulative discount factor</t>
        </is>
      </c>
      <c r="C11" s="26">
        <f>1/(1+C10)</f>
        <v/>
      </c>
      <c r="D11" s="27">
        <f>C11*(1/(1+D10))</f>
        <v/>
      </c>
      <c r="E11" s="27">
        <f>D11*(1/(1+E10))</f>
        <v/>
      </c>
      <c r="F11" s="27">
        <f>E11*(1/(1+F10))</f>
        <v/>
      </c>
      <c r="G11" s="27">
        <f>F11*(1/(1+G10))</f>
        <v/>
      </c>
      <c r="H11" s="27">
        <f>G11*(1/(1+H10))</f>
        <v/>
      </c>
      <c r="I11" s="27">
        <f>H11*(1/(1+I10))</f>
        <v/>
      </c>
      <c r="J11" s="27">
        <f>I11*(1/(1+J10))</f>
        <v/>
      </c>
      <c r="K11" s="27">
        <f>J11*(1/(1+K10))</f>
        <v/>
      </c>
      <c r="L11" s="27">
        <f>K11*(1/(1+L10))</f>
        <v/>
      </c>
    </row>
    <row r="12">
      <c r="A12" t="inlineStr">
        <is>
          <t>PV(FCFF)</t>
        </is>
      </c>
      <c r="C12" s="9">
        <f>IFERROR(C9*C11,"")</f>
        <v/>
      </c>
      <c r="D12" s="9">
        <f>IFERROR(D9*D11,"")</f>
        <v/>
      </c>
      <c r="E12" s="9">
        <f>IFERROR(E9*E11,"")</f>
        <v/>
      </c>
      <c r="F12" s="9">
        <f>IFERROR(F9*F11,"")</f>
        <v/>
      </c>
      <c r="G12" s="9">
        <f>IFERROR(G9*G11,"")</f>
        <v/>
      </c>
      <c r="H12" s="9">
        <f>IFERROR(H9*H11,"")</f>
        <v/>
      </c>
      <c r="I12" s="9">
        <f>IFERROR(I9*I11,"")</f>
        <v/>
      </c>
      <c r="J12" s="9">
        <f>IFERROR(J9*J11,"")</f>
        <v/>
      </c>
      <c r="K12" s="9">
        <f>IFERROR(K9*K11,"")</f>
        <v/>
      </c>
      <c r="L12" s="9">
        <f>IFERROR(L9*L11,"")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</cols>
  <sheetData>
    <row r="1">
      <c r="A1" s="11" t="inlineStr">
        <is>
          <t>WACC build</t>
        </is>
      </c>
      <c r="B1" s="11" t="inlineStr">
        <is>
          <t>Value</t>
        </is>
      </c>
      <c r="C1" s="11" t="inlineStr">
        <is>
          <t>Notes</t>
        </is>
      </c>
    </row>
    <row r="2">
      <c r="A2" s="6" t="inlineStr">
        <is>
          <t>Cost of equity</t>
        </is>
      </c>
    </row>
    <row r="3">
      <c r="A3" t="inlineStr">
        <is>
          <t>Risk-free rate</t>
        </is>
      </c>
      <c r="B3" s="22">
        <f>Inputs!B3</f>
        <v/>
      </c>
    </row>
    <row r="4">
      <c r="A4" t="inlineStr">
        <is>
          <t>Beta</t>
        </is>
      </c>
      <c r="B4" s="28">
        <f>Inputs!B5</f>
        <v/>
      </c>
    </row>
    <row r="5">
      <c r="A5" t="inlineStr">
        <is>
          <t>Equity risk premium</t>
        </is>
      </c>
      <c r="B5" s="22">
        <f>Inputs!B4</f>
        <v/>
      </c>
    </row>
    <row r="6">
      <c r="A6" t="inlineStr">
        <is>
          <t>Cost of equity = rf + β × ERP</t>
        </is>
      </c>
      <c r="B6" s="29">
        <f>B3+B4*B5</f>
        <v/>
      </c>
    </row>
    <row r="8">
      <c r="A8" s="6" t="inlineStr">
        <is>
          <t>Cost of debt</t>
        </is>
      </c>
    </row>
    <row r="9">
      <c r="A9" t="inlineStr">
        <is>
          <t>Pre-tax cost of debt</t>
        </is>
      </c>
      <c r="B9" s="22">
        <f>Inputs!B6</f>
        <v/>
      </c>
    </row>
    <row r="10">
      <c r="A10" t="inlineStr">
        <is>
          <t>Marginal tax rate</t>
        </is>
      </c>
      <c r="B10" s="22">
        <f>Inputs!B7</f>
        <v/>
      </c>
    </row>
    <row r="11">
      <c r="A11" t="inlineStr">
        <is>
          <t>After-tax cost of debt</t>
        </is>
      </c>
      <c r="B11" s="22">
        <f>B9*(1-B10)</f>
        <v/>
      </c>
    </row>
    <row r="13">
      <c r="A13" s="6" t="inlineStr">
        <is>
          <t>Capital structure</t>
        </is>
      </c>
    </row>
    <row r="14">
      <c r="A14" s="19" t="inlineStr">
        <is>
          <t>WACC</t>
        </is>
      </c>
      <c r="B14" s="29">
        <f>IF(ISNUMBER(B15),(B15/(B15+(Inputs!B24+Inputs!B25)))*B6 + ((Inputs!B24+Inputs!B25)/(B15+(Inputs!B24+Inputs!B25)))*B11,0.7*B6 + 0.3*B11)</f>
        <v/>
      </c>
      <c r="C14" t="inlineStr">
        <is>
          <t>Falls back to 70/30 if market cap blank — flag during validation.</t>
        </is>
      </c>
    </row>
    <row r="15">
      <c r="A15" t="inlineStr">
        <is>
          <t>Market cap (override) — for market WACC</t>
        </is>
      </c>
      <c r="B15" s="17" t="n"/>
      <c r="C15" t="inlineStr">
        <is>
          <t>Pipeline-populated. If blank, falls back to 70/30 default split.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</cols>
  <sheetData>
    <row r="1">
      <c r="A1" s="11" t="inlineStr">
        <is>
          <t>Valuation output</t>
        </is>
      </c>
      <c r="B1" s="11" t="inlineStr">
        <is>
          <t>Value ($M)</t>
        </is>
      </c>
      <c r="C1" s="11" t="inlineStr">
        <is>
          <t>Notes</t>
        </is>
      </c>
    </row>
    <row r="2">
      <c r="A2" t="inlineStr">
        <is>
          <t>Sum of PV(FCFF), Y1-Y10</t>
        </is>
      </c>
      <c r="B2" s="9">
        <f>SUM(Forecast!C12:L12)</f>
        <v/>
      </c>
    </row>
    <row r="3">
      <c r="A3" t="inlineStr">
        <is>
          <t>Terminal FCFF (Y11)</t>
        </is>
      </c>
      <c r="B3" s="9">
        <f>Forecast!M9</f>
        <v/>
      </c>
    </row>
    <row r="4">
      <c r="A4" t="inlineStr">
        <is>
          <t>Terminal value (Gordon)</t>
        </is>
      </c>
      <c r="B4" s="9">
        <f>IFERROR(B3/(Inputs!B18-Inputs!B17),"")</f>
        <v/>
      </c>
    </row>
    <row r="5">
      <c r="A5" t="inlineStr">
        <is>
          <t>PV(Terminal value)</t>
        </is>
      </c>
      <c r="B5" s="9">
        <f>IFERROR(B4*Forecast!L11,"")</f>
        <v/>
      </c>
    </row>
    <row r="6">
      <c r="A6" t="inlineStr">
        <is>
          <t>Enterprise value (operating)</t>
        </is>
      </c>
      <c r="B6" s="21">
        <f>B2+B5</f>
        <v/>
      </c>
    </row>
    <row r="8">
      <c r="A8" s="6" t="inlineStr">
        <is>
          <t>Bridge to equity value</t>
        </is>
      </c>
    </row>
    <row r="9">
      <c r="A9" t="inlineStr">
        <is>
          <t>(-) Long-term debt</t>
        </is>
      </c>
      <c r="B9" s="9">
        <f>-Inputs!B24</f>
        <v/>
      </c>
    </row>
    <row r="10">
      <c r="A10" t="inlineStr">
        <is>
          <t>(-) Long-term lease liabilities</t>
        </is>
      </c>
      <c r="B10" s="9">
        <f>-Inputs!B25</f>
        <v/>
      </c>
    </row>
    <row r="11">
      <c r="A11" t="inlineStr">
        <is>
          <t>(+) Cash &amp; equivalents</t>
        </is>
      </c>
      <c r="B11" s="9">
        <f>Inputs!B22</f>
        <v/>
      </c>
    </row>
    <row r="12">
      <c r="A12" t="inlineStr">
        <is>
          <t>(+) Marketable securities</t>
        </is>
      </c>
      <c r="B12" s="9">
        <f>Inputs!B23</f>
        <v/>
      </c>
    </row>
    <row r="13">
      <c r="A13" t="inlineStr">
        <is>
          <t>Equity value</t>
        </is>
      </c>
      <c r="B13" s="21">
        <f>B6+B9+B10+B11+B12</f>
        <v/>
      </c>
    </row>
    <row r="15">
      <c r="A15" t="inlineStr">
        <is>
          <t>Shares outstanding (M)</t>
        </is>
      </c>
      <c r="B15" s="30">
        <f>Inputs!B26</f>
        <v/>
      </c>
    </row>
    <row r="16">
      <c r="A16" t="inlineStr">
        <is>
          <t>Implied value per share ($)</t>
        </is>
      </c>
      <c r="B16" s="31">
        <f>IFERROR(B13/B15,"")</f>
        <v/>
      </c>
    </row>
    <row r="18">
      <c r="A18" s="6" t="inlineStr">
        <is>
          <t>Sanity check vs market</t>
        </is>
      </c>
    </row>
    <row r="19">
      <c r="A19" t="inlineStr">
        <is>
          <t>Current market price ($/share)</t>
        </is>
      </c>
      <c r="B19" s="32" t="n"/>
    </row>
    <row r="20">
      <c r="A20" t="inlineStr">
        <is>
          <t>Implied / Market</t>
        </is>
      </c>
      <c r="B20" s="22">
        <f>IFERROR(B16/B19,"")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2026-05-03T19:44:45Z</dcterms:created>
  <dcterms:modified xmlns:dcterms="http://purl.org/dc/terms/" xmlns:xsi="http://www.w3.org/2001/XMLSchema-instance" xsi:type="dcterms:W3CDTF">2026-05-03T19:44:45Z</dcterms:modified>
</cp:coreProperties>
</file>